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agonzalez\Downloads\"/>
    </mc:Choice>
  </mc:AlternateContent>
  <bookViews>
    <workbookView xWindow="0" yWindow="0" windowWidth="28800" windowHeight="13020"/>
  </bookViews>
  <sheets>
    <sheet name="FP" sheetId="6" r:id="rId1"/>
    <sheet name="Apoio" sheetId="5" r:id="rId2"/>
  </sheets>
  <definedNames>
    <definedName name="_xlnm.Print_Area" localSheetId="0">FP!$E$1:$L$52</definedName>
    <definedName name="Foto">INDEX(Apoio!$F:$F,MATCH(Apoio!$K$14,Apoio!$B:$B,0))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4" i="6" l="1"/>
  <c r="F45" i="6"/>
  <c r="F46" i="6"/>
  <c r="E44" i="6"/>
  <c r="E45" i="6"/>
  <c r="E46" i="6"/>
  <c r="V13" i="6" l="1"/>
  <c r="V12" i="6"/>
  <c r="S1" i="6" l="1"/>
  <c r="K14" i="5" l="1"/>
  <c r="K16" i="5" s="1"/>
  <c r="V3" i="5"/>
  <c r="U3" i="5"/>
  <c r="T3" i="5"/>
  <c r="R3" i="5"/>
  <c r="R11" i="6"/>
  <c r="R5" i="6"/>
  <c r="E43" i="6" l="1"/>
  <c r="F43" i="6" s="1"/>
  <c r="K10" i="6"/>
  <c r="K17" i="5"/>
  <c r="K15" i="5"/>
  <c r="E16" i="6"/>
  <c r="F16" i="6" s="1"/>
  <c r="E36" i="6"/>
  <c r="F36" i="6" s="1"/>
  <c r="E20" i="6"/>
  <c r="F20" i="6" s="1"/>
  <c r="E17" i="6"/>
  <c r="F17" i="6" s="1"/>
  <c r="E34" i="6"/>
  <c r="F34" i="6" s="1"/>
  <c r="E18" i="6"/>
  <c r="F18" i="6" s="1"/>
  <c r="E28" i="6"/>
  <c r="F28" i="6" s="1"/>
  <c r="E42" i="6"/>
  <c r="F42" i="6" s="1"/>
  <c r="E26" i="6"/>
  <c r="F26" i="6" s="1"/>
  <c r="E40" i="6"/>
  <c r="F40" i="6" s="1"/>
  <c r="E32" i="6"/>
  <c r="F32" i="6" s="1"/>
  <c r="E24" i="6"/>
  <c r="F24" i="6" s="1"/>
  <c r="E38" i="6"/>
  <c r="F38" i="6" s="1"/>
  <c r="E30" i="6"/>
  <c r="F30" i="6" s="1"/>
  <c r="E22" i="6"/>
  <c r="F22" i="6" s="1"/>
  <c r="E39" i="6"/>
  <c r="F39" i="6" s="1"/>
  <c r="E35" i="6"/>
  <c r="F35" i="6" s="1"/>
  <c r="E31" i="6"/>
  <c r="F31" i="6" s="1"/>
  <c r="E27" i="6"/>
  <c r="F27" i="6" s="1"/>
  <c r="E23" i="6"/>
  <c r="F23" i="6" s="1"/>
  <c r="E19" i="6"/>
  <c r="F19" i="6" s="1"/>
  <c r="E41" i="6"/>
  <c r="F41" i="6" s="1"/>
  <c r="E37" i="6"/>
  <c r="F37" i="6" s="1"/>
  <c r="E33" i="6"/>
  <c r="F33" i="6" s="1"/>
  <c r="E29" i="6"/>
  <c r="F29" i="6" s="1"/>
  <c r="E25" i="6"/>
  <c r="F25" i="6" s="1"/>
  <c r="E21" i="6"/>
  <c r="F21" i="6" s="1"/>
  <c r="V9" i="6" l="1"/>
  <c r="W9" i="6" s="1"/>
  <c r="V7" i="6"/>
  <c r="W7" i="6" s="1"/>
  <c r="V8" i="6"/>
  <c r="W8" i="6" s="1"/>
  <c r="V10" i="6" l="1"/>
  <c r="V11" i="6" s="1"/>
</calcChain>
</file>

<file path=xl/sharedStrings.xml><?xml version="1.0" encoding="utf-8"?>
<sst xmlns="http://schemas.openxmlformats.org/spreadsheetml/2006/main" count="123" uniqueCount="62">
  <si>
    <t>MÊS</t>
  </si>
  <si>
    <t>DIA</t>
  </si>
  <si>
    <t>ANO</t>
  </si>
  <si>
    <t>DATA</t>
  </si>
  <si>
    <t>ENTRADA</t>
  </si>
  <si>
    <t>SAÍDA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</si>
  <si>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</si>
  <si>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</si>
  <si>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</si>
  <si>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</si>
  <si>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</si>
  <si>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</si>
  <si>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</si>
  <si>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</si>
  <si>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</si>
  <si>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</si>
  <si>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</si>
  <si>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</si>
  <si>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NOME</t>
  </si>
  <si>
    <t>ALBERTO ADRIAN PINHEIRO GONZALEZ</t>
  </si>
  <si>
    <t>FRANCISCO NUNES</t>
  </si>
  <si>
    <t>LUCAS</t>
  </si>
  <si>
    <t>THIAGO</t>
  </si>
  <si>
    <t>CARLOS SOUZA</t>
  </si>
  <si>
    <t>ALBERT</t>
  </si>
  <si>
    <t>FÁBIO</t>
  </si>
  <si>
    <t>CARGO</t>
  </si>
  <si>
    <t>TÉC. EM GESTÃO DE TI</t>
  </si>
  <si>
    <t>COORDENADOR</t>
  </si>
  <si>
    <t>MATRÍCULA</t>
  </si>
  <si>
    <t>LOTAÇÃO</t>
  </si>
  <si>
    <t>Vínculo - Ano</t>
  </si>
  <si>
    <t>Vínculo - Mês</t>
  </si>
  <si>
    <t>22222222/2</t>
  </si>
  <si>
    <t>33333333/3</t>
  </si>
  <si>
    <t>44444444/4</t>
  </si>
  <si>
    <t>55555555/5</t>
  </si>
  <si>
    <t>66666666/6</t>
  </si>
  <si>
    <t>77777777/7</t>
  </si>
  <si>
    <t>Construção - Data</t>
  </si>
  <si>
    <t>ASSINATURA / RUBRICA</t>
  </si>
  <si>
    <t xml:space="preserve">MATRÍCULA: </t>
  </si>
  <si>
    <t>NOME           :</t>
  </si>
  <si>
    <t>ANO         :</t>
  </si>
  <si>
    <t>MÊS          :</t>
  </si>
  <si>
    <t>DIAS ÚTEIS    :</t>
  </si>
  <si>
    <t>CARGO         :</t>
  </si>
  <si>
    <t>LOTAÇÃO    :</t>
  </si>
  <si>
    <t>FOTO</t>
  </si>
  <si>
    <t>5936588/2</t>
  </si>
  <si>
    <t>VÍNCULO</t>
  </si>
  <si>
    <t>DTI</t>
  </si>
  <si>
    <t>OBSERVAÇÕES</t>
  </si>
  <si>
    <t>EXPEDIENTE    :      08:00 / 14:00</t>
  </si>
  <si>
    <t>RESTO</t>
  </si>
  <si>
    <t>DIVISOR</t>
  </si>
  <si>
    <t>CONDIÇÃO</t>
  </si>
  <si>
    <t>TRATAMENTO - BISSEXTO</t>
  </si>
  <si>
    <t>RESULTADO :</t>
  </si>
  <si>
    <t>LINHA</t>
  </si>
  <si>
    <t>COLUNA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</si>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</sst>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&quot;:&quot;##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14" fontId="0" fillId="0" borderId="0" xfId="0" applyNumberFormat="1"/>
    <xf numFmtId="0" fontId="3" fillId="0" borderId="0" xfId="0" applyFont="1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0" fillId="0" borderId="0" xfId="0" applyFont="1"/>
    <xf numFmtId="0" fontId="2" fillId="0" borderId="1" xfId="0" applyFont="1" applyBorder="1" applyAlignment="1">
      <alignment horizontal="center" vertical="center"/>
    </xf>
    <xf numFmtId="0" fontId="1" fillId="0" borderId="0" xfId="0" applyFont="1"/>
    <xf numFmtId="0" fontId="0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  <xf numFmtId="0" fontId="3" fillId="0" borderId="0" xfId="0" applyFont="1" applyFill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0" fillId="0" borderId="0" xfId="0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164" fontId="5" fillId="0" borderId="2" xfId="0" applyNumberFormat="1" applyFont="1" applyBorder="1" applyAlignment="1">
      <alignment horizontal="center" vertical="center"/>
    </xf>
    <xf numFmtId="0" fontId="0" fillId="0" borderId="0" xfId="0" applyFont="1" applyBorder="1"/>
    <xf numFmtId="0" fontId="1" fillId="0" borderId="1" xfId="0" applyFont="1" applyFill="1" applyBorder="1" applyAlignment="1">
      <alignment horizontal="center" vertical="center"/>
    </xf>
    <xf numFmtId="0" fontId="0" fillId="0" borderId="0" xfId="0" applyFill="1"/>
    <xf numFmtId="0" fontId="2" fillId="0" borderId="0" xfId="0" applyFont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64" fontId="5" fillId="0" borderId="3" xfId="0" applyNumberFormat="1" applyFont="1" applyBorder="1" applyAlignment="1">
      <alignment horizontal="center" vertical="center"/>
    </xf>
    <xf numFmtId="0" fontId="0" fillId="0" borderId="2" xfId="0" applyBorder="1"/>
    <xf numFmtId="0" fontId="6" fillId="0" borderId="0" xfId="0" applyFont="1"/>
    <xf numFmtId="0" fontId="0" fillId="0" borderId="0" xfId="0" applyAlignment="1">
      <alignment horizontal="left"/>
    </xf>
    <xf numFmtId="0" fontId="0" fillId="2" borderId="1" xfId="0" applyFill="1" applyBorder="1"/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2" borderId="1" xfId="0" applyFill="1" applyBorder="1" applyAlignment="1">
      <alignment horizontal="center"/>
    </xf>
    <xf numFmtId="0" fontId="2" fillId="0" borderId="1" xfId="0" applyFont="1" applyBorder="1" applyAlignment="1">
      <alignment horizontal="center"/>
    </xf>
  </cellXfs>
  <cellStyles count="1">
    <cellStyle name="Normal" xfId="0" builtinId="0"/>
  </cellStyles>
  <dxfs count="4"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22" fmlaLink="Apoio!$P$2" max="2030" min="2020" page="10" val="2020"/>
</file>

<file path=xl/ctrlProps/ctrlProp2.xml><?xml version="1.0" encoding="utf-8"?>
<formControlPr xmlns="http://schemas.microsoft.com/office/spreadsheetml/2009/9/main" objectType="Spin" dx="22" fmlaLink="Apoio!$R$2" max="12" min="1" page="10" val="8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microsoft.com/office/2007/relationships/hdphoto" Target="../media/hdphoto1.wdp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0</xdr:row>
      <xdr:rowOff>57150</xdr:rowOff>
    </xdr:from>
    <xdr:to>
      <xdr:col>5</xdr:col>
      <xdr:colOff>628650</xdr:colOff>
      <xdr:row>5</xdr:row>
      <xdr:rowOff>38100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9825" y="57150"/>
          <a:ext cx="1400175" cy="933450"/>
        </a:xfrm>
        <a:prstGeom prst="rect">
          <a:avLst/>
        </a:prstGeom>
      </xdr:spPr>
    </xdr:pic>
    <xdr:clientData/>
  </xdr:twoCellAnchor>
  <xdr:twoCellAnchor editAs="oneCell">
    <xdr:from>
      <xdr:col>5</xdr:col>
      <xdr:colOff>361950</xdr:colOff>
      <xdr:row>0</xdr:row>
      <xdr:rowOff>180975</xdr:rowOff>
    </xdr:from>
    <xdr:to>
      <xdr:col>10</xdr:col>
      <xdr:colOff>714375</xdr:colOff>
      <xdr:row>5</xdr:row>
      <xdr:rowOff>85725</xdr:rowOff>
    </xdr:to>
    <xdr:pic>
      <xdr:nvPicPr>
        <xdr:cNvPr id="4" name="Imagem 3" descr="http://seplad.pa.gov.br/wp-content/uploads/2020/01/logo-top-site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52825" y="180975"/>
          <a:ext cx="3810000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238125</xdr:colOff>
      <xdr:row>5</xdr:row>
      <xdr:rowOff>123825</xdr:rowOff>
    </xdr:from>
    <xdr:to>
      <xdr:col>10</xdr:col>
      <xdr:colOff>857250</xdr:colOff>
      <xdr:row>7</xdr:row>
      <xdr:rowOff>161925</xdr:rowOff>
    </xdr:to>
    <xdr:sp macro="" textlink="">
      <xdr:nvSpPr>
        <xdr:cNvPr id="5" name="CaixaDeTexto 4"/>
        <xdr:cNvSpPr txBox="1"/>
      </xdr:nvSpPr>
      <xdr:spPr>
        <a:xfrm>
          <a:off x="2857500" y="1076325"/>
          <a:ext cx="305752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 b="1"/>
            <a:t>FOLHA</a:t>
          </a:r>
          <a:r>
            <a:rPr lang="pt-BR" sz="1800" b="1" baseline="0"/>
            <a:t> DE FREQUÊNCIA - DTI</a:t>
          </a:r>
          <a:endParaRPr lang="pt-BR" sz="1800" b="1"/>
        </a:p>
      </xdr:txBody>
    </xdr:sp>
    <xdr:clientData/>
  </xdr:twoCellAnchor>
  <xdr:twoCellAnchor>
    <xdr:from>
      <xdr:col>13</xdr:col>
      <xdr:colOff>133350</xdr:colOff>
      <xdr:row>5</xdr:row>
      <xdr:rowOff>9525</xdr:rowOff>
    </xdr:from>
    <xdr:to>
      <xdr:col>16</xdr:col>
      <xdr:colOff>457200</xdr:colOff>
      <xdr:row>9</xdr:row>
      <xdr:rowOff>47625</xdr:rowOff>
    </xdr:to>
    <xdr:grpSp>
      <xdr:nvGrpSpPr>
        <xdr:cNvPr id="8" name="Agrupar 7"/>
        <xdr:cNvGrpSpPr/>
      </xdr:nvGrpSpPr>
      <xdr:grpSpPr>
        <a:xfrm>
          <a:off x="9439275" y="962025"/>
          <a:ext cx="1666875" cy="819150"/>
          <a:chOff x="9305925" y="952500"/>
          <a:chExt cx="1666875" cy="8096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3" name="Spinner 3" hidden="1">
                <a:extLst>
                  <a:ext uri="{63B3BB69-23CF-44E3-9099-C40C66FF867C}">
                    <a14:compatExt spid="_x0000_s5123"/>
                  </a:ext>
                </a:extLst>
              </xdr:cNvPr>
              <xdr:cNvSpPr/>
            </xdr:nvSpPr>
            <xdr:spPr bwMode="auto">
              <a:xfrm>
                <a:off x="9305925" y="1171575"/>
                <a:ext cx="438150" cy="590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/>
      </mc:AlternateContent>
      <xdr:sp macro="" textlink="$R$5">
        <xdr:nvSpPr>
          <xdr:cNvPr id="6" name="Retângulo 5"/>
          <xdr:cNvSpPr/>
        </xdr:nvSpPr>
        <xdr:spPr>
          <a:xfrm>
            <a:off x="9763125" y="1181100"/>
            <a:ext cx="1209675" cy="571500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B8028A66-5DCD-43E4-99C7-33AFC26FA03E}" type="TxLink">
              <a:rPr lang="en-US" sz="2400" b="1" i="0" u="none" strike="noStrike">
                <a:solidFill>
                  <a:schemeClr val="bg1"/>
                </a:solidFill>
                <a:latin typeface="Calibri"/>
              </a:rPr>
              <a:pPr algn="l"/>
              <a:t>2020</a:t>
            </a:fld>
            <a:endParaRPr lang="pt-BR" sz="2400" b="1">
              <a:solidFill>
                <a:schemeClr val="bg1"/>
              </a:solidFill>
            </a:endParaRPr>
          </a:p>
        </xdr:txBody>
      </xdr:sp>
      <xdr:sp macro="" textlink="">
        <xdr:nvSpPr>
          <xdr:cNvPr id="7" name="CaixaDeTexto 6"/>
          <xdr:cNvSpPr txBox="1"/>
        </xdr:nvSpPr>
        <xdr:spPr>
          <a:xfrm>
            <a:off x="9744075" y="952500"/>
            <a:ext cx="1131528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 b="1"/>
              <a:t>INFORME</a:t>
            </a:r>
            <a:r>
              <a:rPr lang="pt-BR" sz="1200" b="1" baseline="0"/>
              <a:t> ANO</a:t>
            </a:r>
            <a:endParaRPr lang="pt-BR" sz="1200" b="1"/>
          </a:p>
        </xdr:txBody>
      </xdr:sp>
    </xdr:grpSp>
    <xdr:clientData/>
  </xdr:twoCellAnchor>
  <xdr:twoCellAnchor>
    <xdr:from>
      <xdr:col>13</xdr:col>
      <xdr:colOff>152400</xdr:colOff>
      <xdr:row>9</xdr:row>
      <xdr:rowOff>123825</xdr:rowOff>
    </xdr:from>
    <xdr:to>
      <xdr:col>16</xdr:col>
      <xdr:colOff>533400</xdr:colOff>
      <xdr:row>13</xdr:row>
      <xdr:rowOff>171450</xdr:rowOff>
    </xdr:to>
    <xdr:grpSp>
      <xdr:nvGrpSpPr>
        <xdr:cNvPr id="11" name="Agrupar 10"/>
        <xdr:cNvGrpSpPr/>
      </xdr:nvGrpSpPr>
      <xdr:grpSpPr>
        <a:xfrm>
          <a:off x="9458325" y="1857375"/>
          <a:ext cx="1724025" cy="819150"/>
          <a:chOff x="9353550" y="1905000"/>
          <a:chExt cx="1724025" cy="81915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4" name="Spinner 4" hidden="1">
                <a:extLst>
                  <a:ext uri="{63B3BB69-23CF-44E3-9099-C40C66FF867C}">
                    <a14:compatExt spid="_x0000_s5124"/>
                  </a:ext>
                </a:extLst>
              </xdr:cNvPr>
              <xdr:cNvSpPr/>
            </xdr:nvSpPr>
            <xdr:spPr bwMode="auto">
              <a:xfrm>
                <a:off x="9353550" y="2143125"/>
                <a:ext cx="438150" cy="581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/>
      </mc:AlternateContent>
      <xdr:sp macro="" textlink="Apoio!R3">
        <xdr:nvSpPr>
          <xdr:cNvPr id="9" name="Retângulo 8"/>
          <xdr:cNvSpPr/>
        </xdr:nvSpPr>
        <xdr:spPr>
          <a:xfrm>
            <a:off x="9820275" y="2152650"/>
            <a:ext cx="1257300" cy="571500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F49C3154-448A-40E1-8B93-706907704F94}" type="TxLink">
              <a:rPr lang="en-US" sz="1600" b="1" i="0" u="none" strike="noStrike">
                <a:solidFill>
                  <a:schemeClr val="bg1"/>
                </a:solidFill>
                <a:latin typeface="Calibri"/>
              </a:rPr>
              <a:pPr algn="l"/>
              <a:t>AGOSTO</a:t>
            </a:fld>
            <a:endParaRPr lang="pt-BR" sz="3600" b="1">
              <a:solidFill>
                <a:schemeClr val="bg1"/>
              </a:solidFill>
            </a:endParaRPr>
          </a:p>
        </xdr:txBody>
      </xdr:sp>
      <xdr:sp macro="" textlink="">
        <xdr:nvSpPr>
          <xdr:cNvPr id="10" name="CaixaDeTexto 9"/>
          <xdr:cNvSpPr txBox="1"/>
        </xdr:nvSpPr>
        <xdr:spPr>
          <a:xfrm>
            <a:off x="9858375" y="1905000"/>
            <a:ext cx="111517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 b="1"/>
              <a:t>INFORME MÊS</a:t>
            </a:r>
          </a:p>
        </xdr:txBody>
      </xdr:sp>
    </xdr:grpSp>
    <xdr:clientData/>
  </xdr:twoCellAnchor>
  <xdr:twoCellAnchor>
    <xdr:from>
      <xdr:col>5</xdr:col>
      <xdr:colOff>142875</xdr:colOff>
      <xdr:row>9</xdr:row>
      <xdr:rowOff>161925</xdr:rowOff>
    </xdr:from>
    <xdr:to>
      <xdr:col>7</xdr:col>
      <xdr:colOff>209550</xdr:colOff>
      <xdr:row>13</xdr:row>
      <xdr:rowOff>142874</xdr:rowOff>
    </xdr:to>
    <xdr:grpSp>
      <xdr:nvGrpSpPr>
        <xdr:cNvPr id="3" name="Agrupar 2"/>
        <xdr:cNvGrpSpPr/>
      </xdr:nvGrpSpPr>
      <xdr:grpSpPr>
        <a:xfrm>
          <a:off x="1743075" y="1895475"/>
          <a:ext cx="1695450" cy="752474"/>
          <a:chOff x="1628775" y="1704975"/>
          <a:chExt cx="1695450" cy="657225"/>
        </a:xfrm>
      </xdr:grpSpPr>
      <xdr:sp macro="" textlink="Apoio!K15">
        <xdr:nvSpPr>
          <xdr:cNvPr id="13" name="Retângulo 12"/>
          <xdr:cNvSpPr/>
        </xdr:nvSpPr>
        <xdr:spPr>
          <a:xfrm>
            <a:off x="1638300" y="1704975"/>
            <a:ext cx="1123950" cy="27062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6D42ABAF-11BF-4AFA-AB86-423FBECCC7D5}" type="TxLink">
              <a:rPr lang="en-US" sz="1100" b="1" i="0" u="none" strike="noStrike">
                <a:solidFill>
                  <a:sysClr val="windowText" lastClr="000000"/>
                </a:solidFill>
                <a:latin typeface="Calibri"/>
              </a:rPr>
              <a:pPr algn="l"/>
              <a:t>5936588/2</a:t>
            </a:fld>
            <a:endParaRPr lang="pt-BR" sz="1100" b="1">
              <a:solidFill>
                <a:sysClr val="windowText" lastClr="000000"/>
              </a:solidFill>
            </a:endParaRPr>
          </a:p>
        </xdr:txBody>
      </xdr:sp>
      <xdr:sp macro="" textlink="Apoio!K16">
        <xdr:nvSpPr>
          <xdr:cNvPr id="16" name="Retângulo 15"/>
          <xdr:cNvSpPr/>
        </xdr:nvSpPr>
        <xdr:spPr>
          <a:xfrm>
            <a:off x="1628775" y="1888611"/>
            <a:ext cx="1695450" cy="27062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D8F6AAE0-B53B-40D7-9CEC-AFF9832EB741}" type="TxLink">
              <a:rPr lang="en-US" sz="1100" b="1" i="0" u="none" strike="noStrike">
                <a:solidFill>
                  <a:srgbClr val="000000"/>
                </a:solidFill>
                <a:latin typeface="Calibri"/>
              </a:rPr>
              <a:pPr algn="l"/>
              <a:t>TÉC. EM GESTÃO DE TI</a:t>
            </a:fld>
            <a:endParaRPr lang="pt-BR" sz="1100" b="1"/>
          </a:p>
        </xdr:txBody>
      </xdr:sp>
      <xdr:sp macro="" textlink="Apoio!K17">
        <xdr:nvSpPr>
          <xdr:cNvPr id="17" name="Retângulo 16"/>
          <xdr:cNvSpPr/>
        </xdr:nvSpPr>
        <xdr:spPr>
          <a:xfrm>
            <a:off x="1628775" y="2091578"/>
            <a:ext cx="542925" cy="27062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2EAAC5BE-B912-4360-B3E1-175EAC3912E0}" type="TxLink">
              <a:rPr lang="en-US" sz="1100" b="1" i="0" u="none" strike="noStrike">
                <a:solidFill>
                  <a:srgbClr val="000000"/>
                </a:solidFill>
                <a:latin typeface="Calibri"/>
              </a:rPr>
              <a:pPr algn="l"/>
              <a:t>DTI</a:t>
            </a:fld>
            <a:endParaRPr lang="pt-BR" sz="1100" b="1"/>
          </a:p>
        </xdr:txBody>
      </xdr:sp>
    </xdr:grpSp>
    <xdr:clientData/>
  </xdr:twoCellAnchor>
  <xdr:twoCellAnchor>
    <xdr:from>
      <xdr:col>4</xdr:col>
      <xdr:colOff>352424</xdr:colOff>
      <xdr:row>49</xdr:row>
      <xdr:rowOff>38100</xdr:rowOff>
    </xdr:from>
    <xdr:to>
      <xdr:col>11</xdr:col>
      <xdr:colOff>1190624</xdr:colOff>
      <xdr:row>52</xdr:row>
      <xdr:rowOff>180975</xdr:rowOff>
    </xdr:to>
    <xdr:sp macro="" textlink="">
      <xdr:nvSpPr>
        <xdr:cNvPr id="15" name="CaixaDeTexto 14"/>
        <xdr:cNvSpPr txBox="1"/>
      </xdr:nvSpPr>
      <xdr:spPr>
        <a:xfrm>
          <a:off x="1181099" y="11172825"/>
          <a:ext cx="7153275" cy="714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______________________________________		_________________________________</a:t>
          </a:r>
        </a:p>
        <a:p>
          <a:r>
            <a:rPr lang="pt-BR" sz="1100"/>
            <a:t>              Assinatura</a:t>
          </a:r>
          <a:r>
            <a:rPr lang="pt-BR" sz="1100" baseline="0"/>
            <a:t> - Superior Imediato	</a:t>
          </a:r>
          <a:endParaRPr lang="pt-BR" sz="1100"/>
        </a:p>
      </xdr:txBody>
    </xdr:sp>
    <xdr:clientData/>
  </xdr:twoCellAnchor>
  <xdr:twoCellAnchor>
    <xdr:from>
      <xdr:col>9</xdr:col>
      <xdr:colOff>409574</xdr:colOff>
      <xdr:row>50</xdr:row>
      <xdr:rowOff>76200</xdr:rowOff>
    </xdr:from>
    <xdr:to>
      <xdr:col>11</xdr:col>
      <xdr:colOff>371474</xdr:colOff>
      <xdr:row>52</xdr:row>
      <xdr:rowOff>123825</xdr:rowOff>
    </xdr:to>
    <xdr:sp macro="" textlink="Apoio!K14">
      <xdr:nvSpPr>
        <xdr:cNvPr id="18" name="Retângulo 17"/>
        <xdr:cNvSpPr/>
      </xdr:nvSpPr>
      <xdr:spPr>
        <a:xfrm>
          <a:off x="4857749" y="11401425"/>
          <a:ext cx="2657475" cy="4286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77E0F3C-071D-4AFA-8DD8-1B1FE88F9235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l"/>
            <a:t>ALBERTO ADRIAN PINHEIRO GONZALEZ</a:t>
          </a:fld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2043112</xdr:colOff>
          <xdr:row>5</xdr:row>
          <xdr:rowOff>38099</xdr:rowOff>
        </xdr:from>
        <xdr:to>
          <xdr:col>11</xdr:col>
          <xdr:colOff>1428975</xdr:colOff>
          <xdr:row>12</xdr:row>
          <xdr:rowOff>76200</xdr:rowOff>
        </xdr:to>
        <xdr:pic>
          <xdr:nvPicPr>
            <xdr:cNvPr id="19" name="Imagem 18" descr="sem-foto - Ferramentas TENACE"/>
            <xdr:cNvPicPr>
              <a:picLocks noChangeAspect="1" noChangeArrowheads="1"/>
              <a:extLst>
                <a:ext uri="{84589F7E-364E-4C9E-8A38-B11213B215E9}">
                  <a14:cameraTool cellRange="Foto" spid="_x0000_s523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7100887" y="990599"/>
              <a:ext cx="1471838" cy="1400176"/>
            </a:xfrm>
            <a:prstGeom prst="rect">
              <a:avLst/>
            </a:prstGeom>
            <a:noFill/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14</xdr:col>
      <xdr:colOff>178254</xdr:colOff>
      <xdr:row>14</xdr:row>
      <xdr:rowOff>130629</xdr:rowOff>
    </xdr:from>
    <xdr:to>
      <xdr:col>16</xdr:col>
      <xdr:colOff>57151</xdr:colOff>
      <xdr:row>17</xdr:row>
      <xdr:rowOff>52307</xdr:rowOff>
    </xdr:to>
    <xdr:pic macro="[0]!ApagarDados">
      <xdr:nvPicPr>
        <xdr:cNvPr id="21" name="Imagem 20" descr="Botão, entrar. Botão, lustroso, vector., entrar, ícone, metálico ...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0" b="89691" l="0" r="100000">
                      <a14:foregroundMark x1="4803" y1="60309" x2="4803" y2="60309"/>
                      <a14:foregroundMark x1="9607" y1="64433" x2="9607" y2="64433"/>
                      <a14:foregroundMark x1="9607" y1="65464" x2="39738" y2="78866"/>
                      <a14:foregroundMark x1="58952" y1="82990" x2="86900" y2="70619"/>
                      <a14:foregroundMark x1="93886" y1="62887" x2="97817" y2="54639"/>
                      <a14:backgroundMark x1="32314" y1="1546" x2="32314" y2="1546"/>
                      <a14:backgroundMark x1="64629" y1="1031" x2="64629" y2="103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93654" y="2826204"/>
          <a:ext cx="717097" cy="6074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571500</xdr:colOff>
      <xdr:row>17</xdr:row>
      <xdr:rowOff>47625</xdr:rowOff>
    </xdr:from>
    <xdr:to>
      <xdr:col>16</xdr:col>
      <xdr:colOff>371288</xdr:colOff>
      <xdr:row>19</xdr:row>
      <xdr:rowOff>235985</xdr:rowOff>
    </xdr:to>
    <xdr:grpSp>
      <xdr:nvGrpSpPr>
        <xdr:cNvPr id="20" name="Agrupar 19"/>
        <xdr:cNvGrpSpPr/>
      </xdr:nvGrpSpPr>
      <xdr:grpSpPr>
        <a:xfrm>
          <a:off x="9877425" y="3429000"/>
          <a:ext cx="1142813" cy="683660"/>
          <a:chOff x="8582025" y="3638550"/>
          <a:chExt cx="1142813" cy="683660"/>
        </a:xfrm>
      </xdr:grpSpPr>
      <xdr:sp macro="" textlink="">
        <xdr:nvSpPr>
          <xdr:cNvPr id="12" name="CaixaDeTexto 11"/>
          <xdr:cNvSpPr txBox="1"/>
        </xdr:nvSpPr>
        <xdr:spPr>
          <a:xfrm>
            <a:off x="8582025" y="4057650"/>
            <a:ext cx="1142813" cy="264560"/>
          </a:xfrm>
          <a:prstGeom prst="rect">
            <a:avLst/>
          </a:prstGeom>
          <a:solidFill>
            <a:schemeClr val="accent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>
                <a:solidFill>
                  <a:schemeClr val="bg1"/>
                </a:solidFill>
              </a:rPr>
              <a:t>APAGAR DADOS</a:t>
            </a:r>
          </a:p>
        </xdr:txBody>
      </xdr:sp>
      <xdr:sp macro="" textlink="">
        <xdr:nvSpPr>
          <xdr:cNvPr id="14" name="Seta para Cima 13"/>
          <xdr:cNvSpPr/>
        </xdr:nvSpPr>
        <xdr:spPr>
          <a:xfrm>
            <a:off x="9029700" y="3638550"/>
            <a:ext cx="276225" cy="419100"/>
          </a:xfrm>
          <a:prstGeom prst="upArrow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22</xdr:col>
      <xdr:colOff>704850</xdr:colOff>
      <xdr:row>2</xdr:row>
      <xdr:rowOff>76201</xdr:rowOff>
    </xdr:from>
    <xdr:to>
      <xdr:col>23</xdr:col>
      <xdr:colOff>400050</xdr:colOff>
      <xdr:row>12</xdr:row>
      <xdr:rowOff>180975</xdr:rowOff>
    </xdr:to>
    <xdr:sp macro="" textlink="">
      <xdr:nvSpPr>
        <xdr:cNvPr id="22" name="Chave Direita 21"/>
        <xdr:cNvSpPr/>
      </xdr:nvSpPr>
      <xdr:spPr>
        <a:xfrm>
          <a:off x="15220950" y="457201"/>
          <a:ext cx="409575" cy="2038349"/>
        </a:xfrm>
        <a:prstGeom prst="rightBrac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238125</xdr:colOff>
      <xdr:row>2</xdr:row>
      <xdr:rowOff>133350</xdr:rowOff>
    </xdr:from>
    <xdr:to>
      <xdr:col>19</xdr:col>
      <xdr:colOff>571500</xdr:colOff>
      <xdr:row>13</xdr:row>
      <xdr:rowOff>28575</xdr:rowOff>
    </xdr:to>
    <xdr:sp macro="" textlink="">
      <xdr:nvSpPr>
        <xdr:cNvPr id="23" name="Chave Esquerda 22"/>
        <xdr:cNvSpPr/>
      </xdr:nvSpPr>
      <xdr:spPr>
        <a:xfrm>
          <a:off x="12715875" y="514350"/>
          <a:ext cx="333375" cy="2019300"/>
        </a:xfrm>
        <a:prstGeom prst="leftBrac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590549</xdr:colOff>
      <xdr:row>14</xdr:row>
      <xdr:rowOff>9525</xdr:rowOff>
    </xdr:from>
    <xdr:to>
      <xdr:col>23</xdr:col>
      <xdr:colOff>152399</xdr:colOff>
      <xdr:row>15</xdr:row>
      <xdr:rowOff>114300</xdr:rowOff>
    </xdr:to>
    <xdr:sp macro="" textlink="">
      <xdr:nvSpPr>
        <xdr:cNvPr id="24" name="CaixaDeTexto 23"/>
        <xdr:cNvSpPr txBox="1"/>
      </xdr:nvSpPr>
      <xdr:spPr>
        <a:xfrm>
          <a:off x="13068299" y="2705100"/>
          <a:ext cx="2314575" cy="295275"/>
        </a:xfrm>
        <a:prstGeom prst="rect">
          <a:avLst/>
        </a:prstGeom>
        <a:solidFill>
          <a:srgbClr val="FFFF00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FAVOR NÃO APAGAR OU EDITAR!!</a:t>
          </a:r>
        </a:p>
      </xdr:txBody>
    </xdr:sp>
    <xdr:clientData/>
  </xdr:twoCellAnchor>
  <xdr:twoCellAnchor>
    <xdr:from>
      <xdr:col>17</xdr:col>
      <xdr:colOff>409579</xdr:colOff>
      <xdr:row>2</xdr:row>
      <xdr:rowOff>28574</xdr:rowOff>
    </xdr:from>
    <xdr:to>
      <xdr:col>19</xdr:col>
      <xdr:colOff>185739</xdr:colOff>
      <xdr:row>2</xdr:row>
      <xdr:rowOff>138112</xdr:rowOff>
    </xdr:to>
    <xdr:sp macro="" textlink="">
      <xdr:nvSpPr>
        <xdr:cNvPr id="27" name="Chave Esquerda 26"/>
        <xdr:cNvSpPr/>
      </xdr:nvSpPr>
      <xdr:spPr>
        <a:xfrm rot="16200000">
          <a:off x="12111040" y="-33337"/>
          <a:ext cx="109538" cy="995360"/>
        </a:xfrm>
        <a:prstGeom prst="leftBrace">
          <a:avLst>
            <a:gd name="adj1" fmla="val 37143"/>
            <a:gd name="adj2" fmla="val 50000"/>
          </a:avLst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447675</xdr:colOff>
      <xdr:row>3</xdr:row>
      <xdr:rowOff>123825</xdr:rowOff>
    </xdr:from>
    <xdr:to>
      <xdr:col>19</xdr:col>
      <xdr:colOff>57151</xdr:colOff>
      <xdr:row>9</xdr:row>
      <xdr:rowOff>38100</xdr:rowOff>
    </xdr:to>
    <xdr:sp macro="" textlink="">
      <xdr:nvSpPr>
        <xdr:cNvPr id="28" name="CaixaDeTexto 27"/>
        <xdr:cNvSpPr txBox="1"/>
      </xdr:nvSpPr>
      <xdr:spPr>
        <a:xfrm>
          <a:off x="11706225" y="695325"/>
          <a:ext cx="828676" cy="1076325"/>
        </a:xfrm>
        <a:prstGeom prst="rect">
          <a:avLst/>
        </a:prstGeom>
        <a:solidFill>
          <a:srgbClr val="FFFF00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FAVOR NÃO APAGAR OU EDITAR!!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76199</xdr:colOff>
      <xdr:row>1</xdr:row>
      <xdr:rowOff>28574</xdr:rowOff>
    </xdr:from>
    <xdr:to>
      <xdr:col>5</xdr:col>
      <xdr:colOff>677399</xdr:colOff>
      <xdr:row>1</xdr:row>
      <xdr:rowOff>629774</xdr:rowOff>
    </xdr:to>
    <xdr:pic>
      <xdr:nvPicPr>
        <xdr:cNvPr id="2" name="Imagem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2199" y="314324"/>
          <a:ext cx="601200" cy="6012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66674</xdr:colOff>
      <xdr:row>2</xdr:row>
      <xdr:rowOff>28573</xdr:rowOff>
    </xdr:from>
    <xdr:to>
      <xdr:col>5</xdr:col>
      <xdr:colOff>667874</xdr:colOff>
      <xdr:row>2</xdr:row>
      <xdr:rowOff>629773</xdr:rowOff>
    </xdr:to>
    <xdr:pic>
      <xdr:nvPicPr>
        <xdr:cNvPr id="4" name="Imagem 3" descr="sem-foto - Ferramentas TENAC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62674" y="962023"/>
          <a:ext cx="601200" cy="60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66674</xdr:colOff>
      <xdr:row>3</xdr:row>
      <xdr:rowOff>28573</xdr:rowOff>
    </xdr:from>
    <xdr:to>
      <xdr:col>5</xdr:col>
      <xdr:colOff>667874</xdr:colOff>
      <xdr:row>3</xdr:row>
      <xdr:rowOff>629773</xdr:rowOff>
    </xdr:to>
    <xdr:pic>
      <xdr:nvPicPr>
        <xdr:cNvPr id="6" name="Imagem 5" descr="sem-foto - Ferramentas TENAC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62674" y="1609723"/>
          <a:ext cx="601200" cy="60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66674</xdr:colOff>
      <xdr:row>4</xdr:row>
      <xdr:rowOff>9523</xdr:rowOff>
    </xdr:from>
    <xdr:to>
      <xdr:col>5</xdr:col>
      <xdr:colOff>667874</xdr:colOff>
      <xdr:row>4</xdr:row>
      <xdr:rowOff>610723</xdr:rowOff>
    </xdr:to>
    <xdr:pic>
      <xdr:nvPicPr>
        <xdr:cNvPr id="7" name="Imagem 6" descr="sem-foto - Ferramentas TENAC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62674" y="2085973"/>
          <a:ext cx="601200" cy="60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66674</xdr:colOff>
      <xdr:row>5</xdr:row>
      <xdr:rowOff>19048</xdr:rowOff>
    </xdr:from>
    <xdr:to>
      <xdr:col>5</xdr:col>
      <xdr:colOff>667874</xdr:colOff>
      <xdr:row>5</xdr:row>
      <xdr:rowOff>620248</xdr:rowOff>
    </xdr:to>
    <xdr:pic>
      <xdr:nvPicPr>
        <xdr:cNvPr id="8" name="Imagem 7" descr="sem-foto - Ferramentas TENAC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62674" y="2724148"/>
          <a:ext cx="601200" cy="60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66674</xdr:colOff>
      <xdr:row>6</xdr:row>
      <xdr:rowOff>9523</xdr:rowOff>
    </xdr:from>
    <xdr:to>
      <xdr:col>5</xdr:col>
      <xdr:colOff>667874</xdr:colOff>
      <xdr:row>6</xdr:row>
      <xdr:rowOff>610723</xdr:rowOff>
    </xdr:to>
    <xdr:pic>
      <xdr:nvPicPr>
        <xdr:cNvPr id="9" name="Imagem 8" descr="sem-foto - Ferramentas TENAC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62674" y="3343273"/>
          <a:ext cx="601200" cy="60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66674</xdr:colOff>
      <xdr:row>7</xdr:row>
      <xdr:rowOff>19048</xdr:rowOff>
    </xdr:from>
    <xdr:to>
      <xdr:col>5</xdr:col>
      <xdr:colOff>667874</xdr:colOff>
      <xdr:row>7</xdr:row>
      <xdr:rowOff>620248</xdr:rowOff>
    </xdr:to>
    <xdr:pic>
      <xdr:nvPicPr>
        <xdr:cNvPr id="10" name="Imagem 9" descr="sem-foto - Ferramentas TENAC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62674" y="3981448"/>
          <a:ext cx="601200" cy="60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542924</xdr:colOff>
      <xdr:row>2</xdr:row>
      <xdr:rowOff>328615</xdr:rowOff>
    </xdr:from>
    <xdr:to>
      <xdr:col>22</xdr:col>
      <xdr:colOff>323852</xdr:colOff>
      <xdr:row>4</xdr:row>
      <xdr:rowOff>147640</xdr:rowOff>
    </xdr:to>
    <xdr:sp macro="" textlink="">
      <xdr:nvSpPr>
        <xdr:cNvPr id="12" name="Chave Direita 11"/>
        <xdr:cNvSpPr/>
      </xdr:nvSpPr>
      <xdr:spPr>
        <a:xfrm rot="5400000">
          <a:off x="15730538" y="-904874"/>
          <a:ext cx="1114425" cy="5448303"/>
        </a:xfrm>
        <a:prstGeom prst="rightBrac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609600</xdr:colOff>
      <xdr:row>4</xdr:row>
      <xdr:rowOff>247650</xdr:rowOff>
    </xdr:from>
    <xdr:to>
      <xdr:col>20</xdr:col>
      <xdr:colOff>133350</xdr:colOff>
      <xdr:row>4</xdr:row>
      <xdr:rowOff>523875</xdr:rowOff>
    </xdr:to>
    <xdr:sp macro="" textlink="">
      <xdr:nvSpPr>
        <xdr:cNvPr id="13" name="CaixaDeTexto 12"/>
        <xdr:cNvSpPr txBox="1"/>
      </xdr:nvSpPr>
      <xdr:spPr>
        <a:xfrm>
          <a:off x="14478000" y="2476500"/>
          <a:ext cx="2514600" cy="276225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FAVOR NÃO EDITAR OU APAGAR!!</a:t>
          </a:r>
        </a:p>
      </xdr:txBody>
    </xdr:sp>
    <xdr:clientData/>
  </xdr:twoCellAnchor>
  <xdr:twoCellAnchor>
    <xdr:from>
      <xdr:col>7</xdr:col>
      <xdr:colOff>671512</xdr:colOff>
      <xdr:row>0</xdr:row>
      <xdr:rowOff>28574</xdr:rowOff>
    </xdr:from>
    <xdr:to>
      <xdr:col>9</xdr:col>
      <xdr:colOff>223837</xdr:colOff>
      <xdr:row>18</xdr:row>
      <xdr:rowOff>133349</xdr:rowOff>
    </xdr:to>
    <xdr:sp macro="" textlink="">
      <xdr:nvSpPr>
        <xdr:cNvPr id="11" name="Chave Direita 10"/>
        <xdr:cNvSpPr/>
      </xdr:nvSpPr>
      <xdr:spPr>
        <a:xfrm rot="10800000">
          <a:off x="8196262" y="28574"/>
          <a:ext cx="1114425" cy="6829425"/>
        </a:xfrm>
        <a:prstGeom prst="rightBrac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276225</xdr:colOff>
      <xdr:row>5</xdr:row>
      <xdr:rowOff>133350</xdr:rowOff>
    </xdr:from>
    <xdr:to>
      <xdr:col>7</xdr:col>
      <xdr:colOff>552450</xdr:colOff>
      <xdr:row>6</xdr:row>
      <xdr:rowOff>352425</xdr:rowOff>
    </xdr:to>
    <xdr:sp macro="" textlink="">
      <xdr:nvSpPr>
        <xdr:cNvPr id="14" name="CaixaDeTexto 13"/>
        <xdr:cNvSpPr txBox="1"/>
      </xdr:nvSpPr>
      <xdr:spPr>
        <a:xfrm>
          <a:off x="7086600" y="3009900"/>
          <a:ext cx="990600" cy="866775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FAVOR NÃO EDITAR OU APAGAR!!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abela2" displayName="Tabela2" ref="B1:F8" totalsRowShown="0" headerRowDxfId="0">
  <autoFilter ref="B1:F8"/>
  <tableColumns count="5">
    <tableColumn id="1" name="NOME"/>
    <tableColumn id="2" name="MATRÍCULA"/>
    <tableColumn id="3" name="CARGO"/>
    <tableColumn id="4" name="LOTAÇÃO"/>
    <tableColumn id="5" name="FOTO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pageSetUpPr fitToPage="1"/>
  </sheetPr>
  <dimension ref="A1:W55"/>
  <sheetViews>
    <sheetView showGridLines="0" showRowColHeaders="0" tabSelected="1" zoomScaleNormal="100" workbookViewId="0">
      <selection activeCell="P26" sqref="P26"/>
    </sheetView>
  </sheetViews>
  <sheetFormatPr defaultColWidth="0" defaultRowHeight="15" zeroHeight="1" x14ac:dyDescent="0.25"/>
  <cols>
    <col min="1" max="3" width="2.7109375" customWidth="1"/>
    <col min="4" max="4" width="4.28515625" style="2" customWidth="1"/>
    <col min="5" max="5" width="11.5703125" bestFit="1" customWidth="1"/>
    <col min="6" max="6" width="15.28515625" style="6" customWidth="1"/>
    <col min="7" max="10" width="9.140625" customWidth="1"/>
    <col min="11" max="11" width="31.28515625" customWidth="1"/>
    <col min="12" max="12" width="23.28515625" customWidth="1"/>
    <col min="13" max="14" width="9.140625" customWidth="1"/>
    <col min="15" max="15" width="7.28515625" customWidth="1"/>
    <col min="16" max="16" width="3.7109375" customWidth="1"/>
    <col min="17" max="17" width="9.140625" customWidth="1"/>
    <col min="18" max="20" width="9.140625" hidden="1"/>
    <col min="21" max="21" width="12.28515625" hidden="1"/>
    <col min="22" max="22" width="9.140625" hidden="1"/>
    <col min="23" max="23" width="10.7109375" hidden="1"/>
    <col min="24" max="16384" width="9.140625" hidden="1"/>
  </cols>
  <sheetData>
    <row r="1" spans="4:23" x14ac:dyDescent="0.25">
      <c r="Q1" s="26"/>
      <c r="S1" s="27">
        <f>Apoio!R2</f>
        <v>8</v>
      </c>
    </row>
    <row r="2" spans="4:23" x14ac:dyDescent="0.25">
      <c r="S2" s="27" t="s">
        <v>50</v>
      </c>
    </row>
    <row r="3" spans="4:23" x14ac:dyDescent="0.25"/>
    <row r="4" spans="4:23" x14ac:dyDescent="0.25"/>
    <row r="5" spans="4:23" x14ac:dyDescent="0.25">
      <c r="R5" s="12">
        <f>Apoio!P2</f>
        <v>2020</v>
      </c>
      <c r="U5" s="38" t="s">
        <v>57</v>
      </c>
      <c r="V5" s="38"/>
      <c r="W5" s="38"/>
    </row>
    <row r="6" spans="4:23" ht="15.75" x14ac:dyDescent="0.25">
      <c r="O6" s="37"/>
      <c r="P6" s="37"/>
      <c r="Q6" s="37"/>
      <c r="U6" s="33" t="s">
        <v>55</v>
      </c>
      <c r="V6" s="33" t="s">
        <v>54</v>
      </c>
      <c r="W6" s="33" t="s">
        <v>56</v>
      </c>
    </row>
    <row r="7" spans="4:23" x14ac:dyDescent="0.25">
      <c r="U7" s="5">
        <v>4</v>
      </c>
      <c r="V7" s="5">
        <f>MOD($K$10,$U7)</f>
        <v>0</v>
      </c>
      <c r="W7" s="5">
        <f>IF($V7=0,1,0)</f>
        <v>1</v>
      </c>
    </row>
    <row r="8" spans="4:23" x14ac:dyDescent="0.25">
      <c r="U8" s="5">
        <v>100</v>
      </c>
      <c r="V8" s="5">
        <f t="shared" ref="V8:V9" si="0">MOD($K$10,$U8)</f>
        <v>20</v>
      </c>
      <c r="W8" s="5">
        <f t="shared" ref="W8:W9" si="1">IF($V8=0,1,0)</f>
        <v>0</v>
      </c>
    </row>
    <row r="9" spans="4:23" ht="15.75" x14ac:dyDescent="0.25">
      <c r="E9" s="3" t="s">
        <v>42</v>
      </c>
      <c r="F9" s="15" t="s">
        <v>19</v>
      </c>
      <c r="U9" s="5">
        <v>400</v>
      </c>
      <c r="V9" s="5">
        <f t="shared" si="0"/>
        <v>20</v>
      </c>
      <c r="W9" s="5">
        <f t="shared" si="1"/>
        <v>0</v>
      </c>
    </row>
    <row r="10" spans="4:23" x14ac:dyDescent="0.25">
      <c r="F10" s="13"/>
      <c r="J10" s="3" t="s">
        <v>43</v>
      </c>
      <c r="K10" s="16">
        <f>Apoio!V3</f>
        <v>2020</v>
      </c>
      <c r="U10" t="s">
        <v>58</v>
      </c>
      <c r="V10" s="33" t="str">
        <f>IF(OR($W$9=1,AND($W$7=1,$W$8=0)),"29 DIAS","28 DIAS")</f>
        <v>29 DIAS</v>
      </c>
    </row>
    <row r="11" spans="4:23" ht="15.75" x14ac:dyDescent="0.25">
      <c r="E11" s="3" t="s">
        <v>41</v>
      </c>
      <c r="F11" s="14"/>
      <c r="J11" s="3" t="s">
        <v>44</v>
      </c>
      <c r="K11" s="16" t="s">
        <v>6</v>
      </c>
      <c r="O11" s="37"/>
      <c r="P11" s="37"/>
      <c r="Q11" s="37"/>
      <c r="R11" s="12">
        <f>Apoio!R2</f>
        <v>8</v>
      </c>
      <c r="V11" s="34">
        <f>IF(V10="29 DIAS",1,0)</f>
        <v>1</v>
      </c>
    </row>
    <row r="12" spans="4:23" x14ac:dyDescent="0.25">
      <c r="E12" s="3" t="s">
        <v>46</v>
      </c>
      <c r="F12" s="13"/>
      <c r="J12" s="3" t="s">
        <v>45</v>
      </c>
      <c r="K12" s="32"/>
      <c r="U12" s="35" t="s">
        <v>59</v>
      </c>
      <c r="V12" s="32">
        <f>ROW(V11)</f>
        <v>11</v>
      </c>
    </row>
    <row r="13" spans="4:23" x14ac:dyDescent="0.25">
      <c r="D13" s="8"/>
      <c r="E13" s="3" t="s">
        <v>47</v>
      </c>
      <c r="J13" s="16" t="s">
        <v>53</v>
      </c>
      <c r="U13" s="35" t="s">
        <v>60</v>
      </c>
      <c r="V13" s="32">
        <f>COLUMN(V11)</f>
        <v>22</v>
      </c>
    </row>
    <row r="14" spans="4:23" x14ac:dyDescent="0.25">
      <c r="H14" s="36"/>
      <c r="I14" s="36"/>
    </row>
    <row r="15" spans="4:23" x14ac:dyDescent="0.25">
      <c r="E15" s="7" t="s">
        <v>3</v>
      </c>
      <c r="F15" s="7" t="s">
        <v>1</v>
      </c>
      <c r="G15" s="7" t="s">
        <v>4</v>
      </c>
      <c r="H15" s="7" t="s">
        <v>5</v>
      </c>
      <c r="I15" s="7" t="s">
        <v>4</v>
      </c>
      <c r="J15" s="7" t="s">
        <v>5</v>
      </c>
      <c r="K15" s="7" t="s">
        <v>40</v>
      </c>
      <c r="L15" s="28" t="s">
        <v>52</v>
      </c>
    </row>
    <row r="16" spans="4:23" ht="20.100000000000001" customHeight="1" x14ac:dyDescent="0.25">
      <c r="D16" s="2">
        <v>1</v>
      </c>
      <c r="E16" s="11">
        <f>DATE(Apoio!$V$3,Apoio!$U$3,FP!$D16)</f>
        <v>44044</v>
      </c>
      <c r="F16" s="9" t="str">
        <f>PROPER(TEXT(WEEKDAY($E16,1),"DDDD"))</f>
        <v>Sábado</v>
      </c>
      <c r="G16" s="21"/>
      <c r="H16" s="21"/>
      <c r="I16" s="21"/>
      <c r="J16" s="21"/>
      <c r="K16" s="10"/>
      <c r="L16" s="5"/>
    </row>
    <row r="17" spans="4:12" ht="20.100000000000001" customHeight="1" x14ac:dyDescent="0.25">
      <c r="D17" s="2">
        <v>2</v>
      </c>
      <c r="E17" s="11">
        <f>DATE(Apoio!$V$3,Apoio!$U$3,FP!$D17)</f>
        <v>44045</v>
      </c>
      <c r="F17" s="9" t="str">
        <f t="shared" ref="F17:F46" si="2">PROPER(TEXT(WEEKDAY($E17,1),"DDDD"))</f>
        <v>Domingo</v>
      </c>
      <c r="G17" s="21"/>
      <c r="H17" s="21"/>
      <c r="I17" s="21"/>
      <c r="J17" s="21"/>
      <c r="K17" s="10"/>
      <c r="L17" s="5"/>
    </row>
    <row r="18" spans="4:12" ht="20.100000000000001" customHeight="1" x14ac:dyDescent="0.25">
      <c r="D18" s="2">
        <v>3</v>
      </c>
      <c r="E18" s="11">
        <f>DATE(Apoio!$V$3,Apoio!$U$3,FP!$D18)</f>
        <v>44046</v>
      </c>
      <c r="F18" s="9" t="str">
        <f t="shared" si="2"/>
        <v>Segunda-Feira</v>
      </c>
      <c r="G18" s="21"/>
      <c r="H18" s="21" t="s">
        <v>61</v>
      </c>
      <c r="I18" s="21" t="s">
        <v>61</v>
      </c>
      <c r="J18" s="21"/>
      <c r="K18" s="10"/>
      <c r="L18" s="5"/>
    </row>
    <row r="19" spans="4:12" ht="20.100000000000001" customHeight="1" x14ac:dyDescent="0.25">
      <c r="D19" s="2">
        <v>4</v>
      </c>
      <c r="E19" s="11">
        <f>DATE(Apoio!$V$3,Apoio!$U$3,FP!$D19)</f>
        <v>44047</v>
      </c>
      <c r="F19" s="9" t="str">
        <f t="shared" si="2"/>
        <v>Terça-Feira</v>
      </c>
      <c r="G19" s="21"/>
      <c r="H19" s="21" t="s">
        <v>61</v>
      </c>
      <c r="I19" s="21" t="s">
        <v>61</v>
      </c>
      <c r="J19" s="21"/>
      <c r="K19" s="10"/>
      <c r="L19" s="5"/>
    </row>
    <row r="20" spans="4:12" ht="20.100000000000001" customHeight="1" x14ac:dyDescent="0.25">
      <c r="D20" s="2">
        <v>5</v>
      </c>
      <c r="E20" s="11">
        <f>DATE(Apoio!$V$3,Apoio!$U$3,FP!$D20)</f>
        <v>44048</v>
      </c>
      <c r="F20" s="9" t="str">
        <f t="shared" si="2"/>
        <v>Quarta-Feira</v>
      </c>
      <c r="G20" s="21"/>
      <c r="H20" s="21" t="s">
        <v>61</v>
      </c>
      <c r="I20" s="21" t="s">
        <v>61</v>
      </c>
      <c r="J20" s="21"/>
      <c r="K20" s="10"/>
      <c r="L20" s="5"/>
    </row>
    <row r="21" spans="4:12" ht="20.100000000000001" customHeight="1" x14ac:dyDescent="0.25">
      <c r="D21" s="2">
        <v>6</v>
      </c>
      <c r="E21" s="11">
        <f>DATE(Apoio!$V$3,Apoio!$U$3,FP!$D21)</f>
        <v>44049</v>
      </c>
      <c r="F21" s="9" t="str">
        <f t="shared" si="2"/>
        <v>Quinta-Feira</v>
      </c>
      <c r="G21" s="21"/>
      <c r="H21" s="21" t="s">
        <v>61</v>
      </c>
      <c r="I21" s="21" t="s">
        <v>61</v>
      </c>
      <c r="J21" s="21"/>
      <c r="K21" s="10"/>
      <c r="L21" s="5"/>
    </row>
    <row r="22" spans="4:12" ht="20.100000000000001" customHeight="1" x14ac:dyDescent="0.25">
      <c r="D22" s="2">
        <v>7</v>
      </c>
      <c r="E22" s="11">
        <f>DATE(Apoio!$V$3,Apoio!$U$3,FP!$D22)</f>
        <v>44050</v>
      </c>
      <c r="F22" s="9" t="str">
        <f t="shared" si="2"/>
        <v>Sexta-Feira</v>
      </c>
      <c r="G22" s="21"/>
      <c r="H22" s="21" t="s">
        <v>61</v>
      </c>
      <c r="I22" s="21" t="s">
        <v>61</v>
      </c>
      <c r="J22" s="21"/>
      <c r="K22" s="10"/>
      <c r="L22" s="5"/>
    </row>
    <row r="23" spans="4:12" ht="20.100000000000001" customHeight="1" x14ac:dyDescent="0.25">
      <c r="D23" s="2">
        <v>8</v>
      </c>
      <c r="E23" s="11">
        <f>DATE(Apoio!$V$3,Apoio!$U$3,FP!$D23)</f>
        <v>44051</v>
      </c>
      <c r="F23" s="9" t="str">
        <f t="shared" si="2"/>
        <v>Sábado</v>
      </c>
      <c r="G23" s="21"/>
      <c r="H23" s="21"/>
      <c r="I23" s="21"/>
      <c r="J23" s="21"/>
      <c r="K23" s="10"/>
      <c r="L23" s="5"/>
    </row>
    <row r="24" spans="4:12" ht="20.100000000000001" customHeight="1" x14ac:dyDescent="0.25">
      <c r="D24" s="2">
        <v>9</v>
      </c>
      <c r="E24" s="11">
        <f>DATE(Apoio!$V$3,Apoio!$U$3,FP!$D24)</f>
        <v>44052</v>
      </c>
      <c r="F24" s="9" t="str">
        <f t="shared" si="2"/>
        <v>Domingo</v>
      </c>
      <c r="G24" s="21"/>
      <c r="H24" s="21"/>
      <c r="I24" s="21"/>
      <c r="J24" s="21"/>
      <c r="K24" s="10"/>
      <c r="L24" s="5"/>
    </row>
    <row r="25" spans="4:12" ht="20.100000000000001" customHeight="1" x14ac:dyDescent="0.25">
      <c r="D25" s="2">
        <v>10</v>
      </c>
      <c r="E25" s="11">
        <f>DATE(Apoio!$V$3,Apoio!$U$3,FP!$D25)</f>
        <v>44053</v>
      </c>
      <c r="F25" s="9" t="str">
        <f t="shared" si="2"/>
        <v>Segunda-Feira</v>
      </c>
      <c r="G25" s="21">
        <v>838</v>
      </c>
      <c r="H25" s="21" t="s">
        <v>61</v>
      </c>
      <c r="I25" s="21" t="s">
        <v>61</v>
      </c>
      <c r="J25" s="21">
        <v>1415</v>
      </c>
      <c r="K25" s="10"/>
      <c r="L25" s="5"/>
    </row>
    <row r="26" spans="4:12" ht="20.100000000000001" customHeight="1" x14ac:dyDescent="0.25">
      <c r="D26" s="2">
        <v>11</v>
      </c>
      <c r="E26" s="11">
        <f>DATE(Apoio!$V$3,Apoio!$U$3,FP!$D26)</f>
        <v>44054</v>
      </c>
      <c r="F26" s="9" t="str">
        <f t="shared" si="2"/>
        <v>Terça-Feira</v>
      </c>
      <c r="G26" s="21">
        <v>745</v>
      </c>
      <c r="H26" s="21" t="s">
        <v>61</v>
      </c>
      <c r="I26" s="21" t="s">
        <v>61</v>
      </c>
      <c r="J26" s="21">
        <v>1403</v>
      </c>
      <c r="K26" s="10"/>
      <c r="L26" s="5"/>
    </row>
    <row r="27" spans="4:12" ht="20.100000000000001" customHeight="1" x14ac:dyDescent="0.25">
      <c r="D27" s="2">
        <v>12</v>
      </c>
      <c r="E27" s="11">
        <f>DATE(Apoio!$V$3,Apoio!$U$3,FP!$D27)</f>
        <v>44055</v>
      </c>
      <c r="F27" s="9" t="str">
        <f t="shared" si="2"/>
        <v>Quarta-Feira</v>
      </c>
      <c r="G27" s="21">
        <v>752</v>
      </c>
      <c r="H27" s="21" t="s">
        <v>61</v>
      </c>
      <c r="I27" s="21" t="s">
        <v>61</v>
      </c>
      <c r="J27" s="21">
        <v>1405</v>
      </c>
      <c r="K27" s="10"/>
      <c r="L27" s="5"/>
    </row>
    <row r="28" spans="4:12" ht="20.100000000000001" customHeight="1" x14ac:dyDescent="0.25">
      <c r="D28" s="2">
        <v>13</v>
      </c>
      <c r="E28" s="11">
        <f>DATE(Apoio!$V$3,Apoio!$U$3,FP!$D28)</f>
        <v>44056</v>
      </c>
      <c r="F28" s="9" t="str">
        <f t="shared" si="2"/>
        <v>Quinta-Feira</v>
      </c>
      <c r="G28" s="21">
        <v>758</v>
      </c>
      <c r="H28" s="21" t="s">
        <v>61</v>
      </c>
      <c r="I28" s="21" t="s">
        <v>61</v>
      </c>
      <c r="J28" s="21"/>
      <c r="K28" s="10"/>
      <c r="L28" s="5"/>
    </row>
    <row r="29" spans="4:12" ht="20.100000000000001" customHeight="1" x14ac:dyDescent="0.25">
      <c r="D29" s="2">
        <v>14</v>
      </c>
      <c r="E29" s="11">
        <f>DATE(Apoio!$V$3,Apoio!$U$3,FP!$D29)</f>
        <v>44057</v>
      </c>
      <c r="F29" s="9" t="str">
        <f t="shared" si="2"/>
        <v>Sexta-Feira</v>
      </c>
      <c r="G29" s="21"/>
      <c r="H29" s="21" t="s">
        <v>61</v>
      </c>
      <c r="I29" s="21" t="s">
        <v>61</v>
      </c>
      <c r="J29" s="21"/>
      <c r="K29" s="10"/>
      <c r="L29" s="5"/>
    </row>
    <row r="30" spans="4:12" ht="20.100000000000001" customHeight="1" x14ac:dyDescent="0.25">
      <c r="D30" s="2">
        <v>15</v>
      </c>
      <c r="E30" s="11">
        <f>DATE(Apoio!$V$3,Apoio!$U$3,FP!$D30)</f>
        <v>44058</v>
      </c>
      <c r="F30" s="9" t="str">
        <f t="shared" si="2"/>
        <v>Sábado</v>
      </c>
      <c r="G30" s="21"/>
      <c r="H30" s="21"/>
      <c r="I30" s="21"/>
      <c r="J30" s="21"/>
      <c r="K30" s="10"/>
      <c r="L30" s="5"/>
    </row>
    <row r="31" spans="4:12" ht="20.100000000000001" customHeight="1" x14ac:dyDescent="0.25">
      <c r="D31" s="2">
        <v>16</v>
      </c>
      <c r="E31" s="11">
        <f>DATE(Apoio!$V$3,Apoio!$U$3,FP!$D31)</f>
        <v>44059</v>
      </c>
      <c r="F31" s="9" t="str">
        <f t="shared" si="2"/>
        <v>Domingo</v>
      </c>
      <c r="G31" s="21"/>
      <c r="H31" s="21"/>
      <c r="I31" s="21"/>
      <c r="J31" s="21"/>
      <c r="K31" s="10"/>
      <c r="L31" s="5"/>
    </row>
    <row r="32" spans="4:12" ht="20.100000000000001" customHeight="1" x14ac:dyDescent="0.25">
      <c r="D32" s="2">
        <v>17</v>
      </c>
      <c r="E32" s="11">
        <f>DATE(Apoio!$V$3,Apoio!$U$3,FP!$D32)</f>
        <v>44060</v>
      </c>
      <c r="F32" s="9" t="str">
        <f t="shared" si="2"/>
        <v>Segunda-Feira</v>
      </c>
      <c r="G32" s="21"/>
      <c r="H32" s="21" t="s">
        <v>61</v>
      </c>
      <c r="I32" s="21" t="s">
        <v>61</v>
      </c>
      <c r="J32" s="21"/>
      <c r="K32" s="10"/>
      <c r="L32" s="5"/>
    </row>
    <row r="33" spans="4:12" ht="20.100000000000001" customHeight="1" x14ac:dyDescent="0.25">
      <c r="D33" s="2">
        <v>18</v>
      </c>
      <c r="E33" s="11">
        <f>DATE(Apoio!$V$3,Apoio!$U$3,FP!$D33)</f>
        <v>44061</v>
      </c>
      <c r="F33" s="9" t="str">
        <f t="shared" si="2"/>
        <v>Terça-Feira</v>
      </c>
      <c r="G33" s="21"/>
      <c r="H33" s="21" t="s">
        <v>61</v>
      </c>
      <c r="I33" s="21" t="s">
        <v>61</v>
      </c>
      <c r="J33" s="21"/>
      <c r="K33" s="10"/>
      <c r="L33" s="5"/>
    </row>
    <row r="34" spans="4:12" ht="20.100000000000001" customHeight="1" x14ac:dyDescent="0.25">
      <c r="D34" s="2">
        <v>19</v>
      </c>
      <c r="E34" s="11">
        <f>DATE(Apoio!$V$3,Apoio!$U$3,FP!$D34)</f>
        <v>44062</v>
      </c>
      <c r="F34" s="9" t="str">
        <f t="shared" si="2"/>
        <v>Quarta-Feira</v>
      </c>
      <c r="G34" s="21"/>
      <c r="H34" s="21" t="s">
        <v>61</v>
      </c>
      <c r="I34" s="21" t="s">
        <v>61</v>
      </c>
      <c r="J34" s="21"/>
      <c r="K34" s="10"/>
      <c r="L34" s="5"/>
    </row>
    <row r="35" spans="4:12" ht="20.100000000000001" customHeight="1" x14ac:dyDescent="0.25">
      <c r="D35" s="2">
        <v>20</v>
      </c>
      <c r="E35" s="11">
        <f>DATE(Apoio!$V$3,Apoio!$U$3,FP!$D35)</f>
        <v>44063</v>
      </c>
      <c r="F35" s="9" t="str">
        <f t="shared" si="2"/>
        <v>Quinta-Feira</v>
      </c>
      <c r="G35" s="21"/>
      <c r="H35" s="21" t="s">
        <v>61</v>
      </c>
      <c r="I35" s="21" t="s">
        <v>61</v>
      </c>
      <c r="J35" s="21"/>
      <c r="K35" s="10"/>
      <c r="L35" s="5"/>
    </row>
    <row r="36" spans="4:12" ht="20.100000000000001" customHeight="1" x14ac:dyDescent="0.25">
      <c r="D36" s="2">
        <v>21</v>
      </c>
      <c r="E36" s="11">
        <f>DATE(Apoio!$V$3,Apoio!$U$3,FP!$D36)</f>
        <v>44064</v>
      </c>
      <c r="F36" s="9" t="str">
        <f t="shared" si="2"/>
        <v>Sexta-Feira</v>
      </c>
      <c r="G36" s="21"/>
      <c r="H36" s="21" t="s">
        <v>61</v>
      </c>
      <c r="I36" s="21" t="s">
        <v>61</v>
      </c>
      <c r="J36" s="21"/>
      <c r="K36" s="10"/>
      <c r="L36" s="5"/>
    </row>
    <row r="37" spans="4:12" ht="20.100000000000001" customHeight="1" x14ac:dyDescent="0.25">
      <c r="D37" s="2">
        <v>22</v>
      </c>
      <c r="E37" s="11">
        <f>DATE(Apoio!$V$3,Apoio!$U$3,FP!$D37)</f>
        <v>44065</v>
      </c>
      <c r="F37" s="9" t="str">
        <f t="shared" si="2"/>
        <v>Sábado</v>
      </c>
      <c r="G37" s="21"/>
      <c r="H37" s="21"/>
      <c r="I37" s="21"/>
      <c r="J37" s="21"/>
      <c r="K37" s="10"/>
      <c r="L37" s="5"/>
    </row>
    <row r="38" spans="4:12" ht="20.100000000000001" customHeight="1" x14ac:dyDescent="0.25">
      <c r="D38" s="2">
        <v>23</v>
      </c>
      <c r="E38" s="11">
        <f>DATE(Apoio!$V$3,Apoio!$U$3,FP!$D38)</f>
        <v>44066</v>
      </c>
      <c r="F38" s="9" t="str">
        <f t="shared" si="2"/>
        <v>Domingo</v>
      </c>
      <c r="G38" s="21"/>
      <c r="H38" s="21"/>
      <c r="I38" s="21"/>
      <c r="J38" s="21"/>
      <c r="K38" s="10"/>
      <c r="L38" s="5"/>
    </row>
    <row r="39" spans="4:12" ht="20.100000000000001" customHeight="1" x14ac:dyDescent="0.25">
      <c r="D39" s="2">
        <v>24</v>
      </c>
      <c r="E39" s="11">
        <f>DATE(Apoio!$V$3,Apoio!$U$3,FP!$D39)</f>
        <v>44067</v>
      </c>
      <c r="F39" s="9" t="str">
        <f t="shared" si="2"/>
        <v>Segunda-Feira</v>
      </c>
      <c r="G39" s="21"/>
      <c r="H39" s="21" t="s">
        <v>61</v>
      </c>
      <c r="I39" s="21" t="s">
        <v>61</v>
      </c>
      <c r="J39" s="21"/>
      <c r="K39" s="10"/>
      <c r="L39" s="5"/>
    </row>
    <row r="40" spans="4:12" ht="20.100000000000001" customHeight="1" x14ac:dyDescent="0.25">
      <c r="D40" s="2">
        <v>25</v>
      </c>
      <c r="E40" s="11">
        <f>DATE(Apoio!$V$3,Apoio!$U$3,FP!$D40)</f>
        <v>44068</v>
      </c>
      <c r="F40" s="9" t="str">
        <f t="shared" si="2"/>
        <v>Terça-Feira</v>
      </c>
      <c r="G40" s="21"/>
      <c r="H40" s="21" t="s">
        <v>61</v>
      </c>
      <c r="I40" s="21" t="s">
        <v>61</v>
      </c>
      <c r="J40" s="21"/>
      <c r="K40" s="10"/>
      <c r="L40" s="5"/>
    </row>
    <row r="41" spans="4:12" ht="20.100000000000001" customHeight="1" x14ac:dyDescent="0.25">
      <c r="D41" s="2">
        <v>26</v>
      </c>
      <c r="E41" s="18">
        <f>DATE(Apoio!$V$3,Apoio!$U$3,FP!$D41)</f>
        <v>44069</v>
      </c>
      <c r="F41" s="19" t="str">
        <f t="shared" si="2"/>
        <v>Quarta-Feira</v>
      </c>
      <c r="G41" s="21"/>
      <c r="H41" s="21" t="s">
        <v>61</v>
      </c>
      <c r="I41" s="21" t="s">
        <v>61</v>
      </c>
      <c r="J41" s="21"/>
      <c r="K41" s="20"/>
      <c r="L41" s="30"/>
    </row>
    <row r="42" spans="4:12" ht="20.100000000000001" customHeight="1" x14ac:dyDescent="0.25">
      <c r="D42" s="2">
        <v>27</v>
      </c>
      <c r="E42" s="18">
        <f>DATE(Apoio!$V$3,Apoio!$U$3,FP!$D42)</f>
        <v>44070</v>
      </c>
      <c r="F42" s="19" t="str">
        <f t="shared" si="2"/>
        <v>Quinta-Feira</v>
      </c>
      <c r="G42" s="23"/>
      <c r="H42" s="21" t="s">
        <v>61</v>
      </c>
      <c r="I42" s="21" t="s">
        <v>61</v>
      </c>
      <c r="J42" s="23"/>
      <c r="K42" s="20"/>
      <c r="L42" s="30"/>
    </row>
    <row r="43" spans="4:12" ht="20.100000000000001" customHeight="1" x14ac:dyDescent="0.25">
      <c r="D43" s="2">
        <v>28</v>
      </c>
      <c r="E43" s="18">
        <f>DATE(Apoio!$V$3,Apoio!$U$3,FP!$D43)</f>
        <v>44071</v>
      </c>
      <c r="F43" s="19" t="str">
        <f t="shared" si="2"/>
        <v>Sexta-Feira</v>
      </c>
      <c r="G43" s="23"/>
      <c r="H43" s="21" t="s">
        <v>61</v>
      </c>
      <c r="I43" s="21" t="s">
        <v>61</v>
      </c>
      <c r="J43" s="23"/>
      <c r="K43" s="20"/>
      <c r="L43" s="30"/>
    </row>
    <row r="44" spans="4:12" ht="20.100000000000001" customHeight="1" x14ac:dyDescent="0.25">
      <c r="D44" s="2">
        <v>29</v>
      </c>
      <c r="E44" s="18">
        <f>DATE(Apoio!$V$3,Apoio!$U$3,FP!$D44)</f>
        <v>44072</v>
      </c>
      <c r="F44" s="19" t="str">
        <f t="shared" si="2"/>
        <v>Sábado</v>
      </c>
      <c r="G44" s="21"/>
      <c r="H44" s="21"/>
      <c r="I44" s="21"/>
      <c r="J44" s="21"/>
      <c r="K44" s="10"/>
      <c r="L44" s="5"/>
    </row>
    <row r="45" spans="4:12" ht="20.100000000000001" customHeight="1" x14ac:dyDescent="0.25">
      <c r="D45" s="2">
        <v>30</v>
      </c>
      <c r="E45" s="18">
        <f>DATE(Apoio!$V$3,Apoio!$U$3,FP!$D45)</f>
        <v>44073</v>
      </c>
      <c r="F45" s="19" t="str">
        <f t="shared" si="2"/>
        <v>Domingo</v>
      </c>
      <c r="G45" s="21"/>
      <c r="H45" s="21"/>
      <c r="I45" s="21"/>
      <c r="J45" s="21"/>
      <c r="K45" s="25"/>
      <c r="L45" s="5"/>
    </row>
    <row r="46" spans="4:12" ht="20.100000000000001" customHeight="1" x14ac:dyDescent="0.25">
      <c r="D46" s="2">
        <v>31</v>
      </c>
      <c r="E46" s="11">
        <f>DATE(Apoio!$V$3,Apoio!$U$3,FP!$D46)</f>
        <v>44074</v>
      </c>
      <c r="F46" s="9" t="str">
        <f t="shared" si="2"/>
        <v>Segunda-Feira</v>
      </c>
      <c r="G46" s="29"/>
      <c r="H46" s="21" t="s">
        <v>61</v>
      </c>
      <c r="I46" s="21" t="s">
        <v>61</v>
      </c>
      <c r="J46" s="21"/>
      <c r="K46" s="25"/>
      <c r="L46" s="5"/>
    </row>
    <row r="47" spans="4:12" x14ac:dyDescent="0.25">
      <c r="E47" s="17"/>
      <c r="F47" s="24"/>
      <c r="G47" s="17"/>
      <c r="H47" s="17"/>
      <c r="I47" s="17"/>
      <c r="J47" s="17"/>
      <c r="K47" s="17"/>
    </row>
    <row r="48" spans="4:12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</sheetData>
  <sheetProtection selectLockedCells="1" selectUnlockedCells="1"/>
  <mergeCells count="4">
    <mergeCell ref="H14:I14"/>
    <mergeCell ref="O6:Q6"/>
    <mergeCell ref="O11:Q11"/>
    <mergeCell ref="U5:W5"/>
  </mergeCells>
  <conditionalFormatting sqref="G16:L46">
    <cfRule type="expression" dxfId="3" priority="13">
      <formula>OR($F16="Sábado",$F16="Domingo")</formula>
    </cfRule>
  </conditionalFormatting>
  <conditionalFormatting sqref="E16:E46">
    <cfRule type="expression" dxfId="2" priority="1">
      <formula>OR($F16="Sábado",$F16="Domingo")</formula>
    </cfRule>
  </conditionalFormatting>
  <conditionalFormatting sqref="F16:F46">
    <cfRule type="expression" dxfId="1" priority="2">
      <formula>OR($F16="Sábado",$F16="Domingo")</formula>
    </cfRule>
  </conditionalFormatting>
  <pageMargins left="0.43307086614173229" right="3.937007874015748E-2" top="0.6692913385826772" bottom="0.74803149606299213" header="0.15748031496062992" footer="0.31496062992125984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Spinner 3">
              <controlPr defaultSize="0" autoPict="0">
                <anchor moveWithCells="1" sizeWithCells="1">
                  <from>
                    <xdr:col>13</xdr:col>
                    <xdr:colOff>133350</xdr:colOff>
                    <xdr:row>6</xdr:row>
                    <xdr:rowOff>28575</xdr:rowOff>
                  </from>
                  <to>
                    <xdr:col>13</xdr:col>
                    <xdr:colOff>571500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Spinner 4">
              <controlPr defaultSize="0" autoPict="0" macro="[0]!Planilha1.teste">
                <anchor moveWithCells="1" sizeWithCells="1">
                  <from>
                    <xdr:col>13</xdr:col>
                    <xdr:colOff>152400</xdr:colOff>
                    <xdr:row>10</xdr:row>
                    <xdr:rowOff>171450</xdr:rowOff>
                  </from>
                  <to>
                    <xdr:col>13</xdr:col>
                    <xdr:colOff>590550</xdr:colOff>
                    <xdr:row>13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Apoio!$B$2:$B$8</xm:f>
          </x14:formula1>
          <xm:sqref>F9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B1:V17"/>
  <sheetViews>
    <sheetView showGridLines="0" topLeftCell="E1" workbookViewId="0">
      <selection activeCell="G26" sqref="G26"/>
    </sheetView>
  </sheetViews>
  <sheetFormatPr defaultRowHeight="15" x14ac:dyDescent="0.25"/>
  <cols>
    <col min="2" max="2" width="35.85546875" bestFit="1" customWidth="1"/>
    <col min="3" max="3" width="13.5703125" bestFit="1" customWidth="1"/>
    <col min="4" max="4" width="20.28515625" bestFit="1" customWidth="1"/>
    <col min="5" max="5" width="11.7109375" bestFit="1" customWidth="1"/>
    <col min="6" max="6" width="10.7109375" style="17" customWidth="1"/>
    <col min="7" max="8" width="10.7109375" customWidth="1"/>
    <col min="9" max="10" width="12.7109375" customWidth="1"/>
    <col min="11" max="11" width="15.140625" bestFit="1" customWidth="1"/>
    <col min="13" max="13" width="12.85546875" bestFit="1" customWidth="1"/>
    <col min="16" max="16" width="12.7109375" bestFit="1" customWidth="1"/>
    <col min="17" max="17" width="13.7109375" bestFit="1" customWidth="1"/>
    <col min="18" max="18" width="12.85546875" bestFit="1" customWidth="1"/>
  </cols>
  <sheetData>
    <row r="1" spans="2:22" ht="22.5" customHeight="1" x14ac:dyDescent="0.25">
      <c r="B1" s="22" t="s">
        <v>18</v>
      </c>
      <c r="C1" s="17" t="s">
        <v>29</v>
      </c>
      <c r="D1" s="17" t="s">
        <v>26</v>
      </c>
      <c r="E1" s="17" t="s">
        <v>30</v>
      </c>
      <c r="F1" s="17" t="s">
        <v>48</v>
      </c>
      <c r="L1" s="5">
        <v>1</v>
      </c>
      <c r="M1" s="5" t="s">
        <v>6</v>
      </c>
      <c r="N1" s="5">
        <v>31</v>
      </c>
      <c r="O1" s="17"/>
      <c r="P1" s="4" t="s">
        <v>31</v>
      </c>
      <c r="R1" s="4" t="s">
        <v>32</v>
      </c>
      <c r="T1" s="39" t="s">
        <v>39</v>
      </c>
      <c r="U1" s="39"/>
      <c r="V1" s="39"/>
    </row>
    <row r="2" spans="2:22" ht="51" customHeight="1" x14ac:dyDescent="0.25">
      <c r="B2" s="17" t="s">
        <v>19</v>
      </c>
      <c r="C2" s="17" t="s">
        <v>49</v>
      </c>
      <c r="D2" s="17" t="s">
        <v>27</v>
      </c>
      <c r="E2" s="17" t="s">
        <v>51</v>
      </c>
      <c r="I2" s="1"/>
      <c r="J2" s="1"/>
      <c r="K2" s="1"/>
      <c r="L2" s="5">
        <v>2</v>
      </c>
      <c r="M2" s="5" t="s">
        <v>7</v>
      </c>
      <c r="N2" s="5">
        <v>28</v>
      </c>
      <c r="O2" s="17"/>
      <c r="P2" s="7">
        <v>2020</v>
      </c>
      <c r="R2" s="7">
        <v>8</v>
      </c>
      <c r="T2" s="5" t="s">
        <v>1</v>
      </c>
      <c r="U2" s="5" t="s">
        <v>0</v>
      </c>
      <c r="V2" s="5" t="s">
        <v>2</v>
      </c>
    </row>
    <row r="3" spans="2:22" ht="51" customHeight="1" x14ac:dyDescent="0.25">
      <c r="B3" s="17" t="s">
        <v>20</v>
      </c>
      <c r="C3" s="17" t="s">
        <v>33</v>
      </c>
      <c r="D3" s="17" t="s">
        <v>27</v>
      </c>
      <c r="E3" s="17" t="s">
        <v>51</v>
      </c>
      <c r="L3" s="5">
        <v>3</v>
      </c>
      <c r="M3" s="5" t="s">
        <v>8</v>
      </c>
      <c r="N3" s="5">
        <v>31</v>
      </c>
      <c r="O3" s="17"/>
      <c r="R3" s="7" t="str">
        <f>INDEX($M$1:$M$12,MATCH($R$2,$L$1:$L$12,0))</f>
        <v>AGOSTO</v>
      </c>
      <c r="T3" s="5" t="str">
        <f>TEXT(FP!D16,"DD")</f>
        <v>01</v>
      </c>
      <c r="U3" s="5">
        <f>$R$2</f>
        <v>8</v>
      </c>
      <c r="V3" s="5">
        <f>Apoio!P2</f>
        <v>2020</v>
      </c>
    </row>
    <row r="4" spans="2:22" ht="51" customHeight="1" x14ac:dyDescent="0.25">
      <c r="B4" s="17" t="s">
        <v>21</v>
      </c>
      <c r="C4" s="17" t="s">
        <v>34</v>
      </c>
      <c r="D4" s="17" t="s">
        <v>27</v>
      </c>
      <c r="E4" s="17" t="s">
        <v>51</v>
      </c>
      <c r="L4" s="5">
        <v>4</v>
      </c>
      <c r="M4" s="5" t="s">
        <v>9</v>
      </c>
      <c r="N4" s="5">
        <v>30</v>
      </c>
      <c r="O4" s="17"/>
    </row>
    <row r="5" spans="2:22" ht="51" customHeight="1" x14ac:dyDescent="0.25">
      <c r="B5" s="17" t="s">
        <v>22</v>
      </c>
      <c r="C5" s="17" t="s">
        <v>35</v>
      </c>
      <c r="D5" s="17" t="s">
        <v>27</v>
      </c>
      <c r="E5" s="17" t="s">
        <v>51</v>
      </c>
      <c r="L5" s="5">
        <v>5</v>
      </c>
      <c r="M5" s="5" t="s">
        <v>10</v>
      </c>
      <c r="N5" s="5">
        <v>31</v>
      </c>
      <c r="O5" s="17"/>
    </row>
    <row r="6" spans="2:22" ht="51" customHeight="1" x14ac:dyDescent="0.25">
      <c r="B6" s="17" t="s">
        <v>23</v>
      </c>
      <c r="C6" s="17" t="s">
        <v>36</v>
      </c>
      <c r="D6" s="17" t="s">
        <v>28</v>
      </c>
      <c r="E6" s="17" t="s">
        <v>51</v>
      </c>
      <c r="L6" s="5">
        <v>6</v>
      </c>
      <c r="M6" s="5" t="s">
        <v>11</v>
      </c>
      <c r="N6" s="5">
        <v>30</v>
      </c>
      <c r="O6" s="17"/>
    </row>
    <row r="7" spans="2:22" ht="51" customHeight="1" x14ac:dyDescent="0.25">
      <c r="B7" s="17" t="s">
        <v>24</v>
      </c>
      <c r="C7" s="17" t="s">
        <v>37</v>
      </c>
      <c r="D7" s="17" t="s">
        <v>27</v>
      </c>
      <c r="E7" s="17" t="s">
        <v>51</v>
      </c>
      <c r="L7" s="5">
        <v>7</v>
      </c>
      <c r="M7" s="5" t="s">
        <v>12</v>
      </c>
      <c r="N7" s="5">
        <v>31</v>
      </c>
      <c r="O7" s="17"/>
    </row>
    <row r="8" spans="2:22" ht="51" customHeight="1" x14ac:dyDescent="0.25">
      <c r="B8" s="17" t="s">
        <v>25</v>
      </c>
      <c r="C8" s="17" t="s">
        <v>38</v>
      </c>
      <c r="D8" s="17" t="s">
        <v>27</v>
      </c>
      <c r="E8" s="17" t="s">
        <v>51</v>
      </c>
      <c r="L8" s="5">
        <v>8</v>
      </c>
      <c r="M8" s="5" t="s">
        <v>13</v>
      </c>
      <c r="N8" s="5">
        <v>31</v>
      </c>
      <c r="O8" s="17"/>
    </row>
    <row r="9" spans="2:22" x14ac:dyDescent="0.25">
      <c r="L9" s="5">
        <v>9</v>
      </c>
      <c r="M9" s="5" t="s">
        <v>14</v>
      </c>
      <c r="N9" s="5">
        <v>30</v>
      </c>
      <c r="O9" s="17"/>
    </row>
    <row r="10" spans="2:22" x14ac:dyDescent="0.25">
      <c r="L10" s="5">
        <v>10</v>
      </c>
      <c r="M10" s="5" t="s">
        <v>15</v>
      </c>
      <c r="N10" s="5">
        <v>31</v>
      </c>
      <c r="O10" s="17"/>
    </row>
    <row r="11" spans="2:22" x14ac:dyDescent="0.25">
      <c r="L11" s="5">
        <v>11</v>
      </c>
      <c r="M11" s="5" t="s">
        <v>16</v>
      </c>
      <c r="N11" s="5">
        <v>30</v>
      </c>
      <c r="O11" s="17"/>
    </row>
    <row r="12" spans="2:22" x14ac:dyDescent="0.25">
      <c r="L12" s="5">
        <v>12</v>
      </c>
      <c r="M12" s="5" t="s">
        <v>17</v>
      </c>
      <c r="N12" s="5">
        <v>31</v>
      </c>
      <c r="O12" s="17"/>
    </row>
    <row r="14" spans="2:22" x14ac:dyDescent="0.25">
      <c r="J14" s="3" t="s">
        <v>18</v>
      </c>
      <c r="K14" t="str">
        <f>FP!F9</f>
        <v>ALBERTO ADRIAN PINHEIRO GONZALEZ</v>
      </c>
    </row>
    <row r="15" spans="2:22" x14ac:dyDescent="0.25">
      <c r="J15" t="s">
        <v>29</v>
      </c>
      <c r="K15" s="31" t="str">
        <f>INDEX(Tabela2[MATRÍCULA],MATCH($K$14,Tabela2[NOME],0))</f>
        <v>5936588/2</v>
      </c>
    </row>
    <row r="16" spans="2:22" x14ac:dyDescent="0.25">
      <c r="J16" t="s">
        <v>26</v>
      </c>
      <c r="K16" t="str">
        <f>INDEX(Tabela2[CARGO],MATCH($K$14,Tabela2[NOME],0))</f>
        <v>TÉC. EM GESTÃO DE TI</v>
      </c>
    </row>
    <row r="17" spans="10:11" x14ac:dyDescent="0.25">
      <c r="J17" t="s">
        <v>30</v>
      </c>
      <c r="K17" t="str">
        <f>INDEX(Tabela2[LOTAÇÃO],MATCH($K$14,Tabela2[NOME],0))</f>
        <v>DTI</v>
      </c>
    </row>
  </sheetData>
  <mergeCells count="1">
    <mergeCell ref="T1:V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FP</vt:lpstr>
      <vt:lpstr>Apoio</vt:lpstr>
      <vt:lpstr>FP!Area_de_impressao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Beto</dc:creator>
  <cp:lastModifiedBy>agonzalez</cp:lastModifiedBy>
  <cp:lastPrinted>2020-08-13T12:14:09Z</cp:lastPrinted>
  <dcterms:created xsi:type="dcterms:W3CDTF">2020-08-07T19:32:35Z</dcterms:created>
  <dcterms:modified xsi:type="dcterms:W3CDTF">2020-08-13T12:29:42Z</dcterms:modified>
</cp:coreProperties>
</file>